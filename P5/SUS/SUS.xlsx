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ta\Desktop\uni\5º2ºcuatri\Diseño de Interfaces de Usuario\Midas\P5\SUS\"/>
    </mc:Choice>
  </mc:AlternateContent>
  <xr:revisionPtr revIDLastSave="0" documentId="13_ncr:1_{CCE96BB7-FBE1-414A-B29A-18AF0AA50E5D}" xr6:coauthVersionLast="47" xr6:coauthVersionMax="47" xr10:uidLastSave="{00000000-0000-0000-0000-000000000000}"/>
  <bookViews>
    <workbookView xWindow="-108" yWindow="-108" windowWidth="23256" windowHeight="12456" xr2:uid="{08F562F5-B496-49D4-838D-FAA59CDEF3D7}"/>
  </bookViews>
  <sheets>
    <sheet name="Escala SUS (Test de Usabili (2)" sheetId="2" r:id="rId1"/>
  </sheets>
  <definedNames>
    <definedName name="DatosExternos_1" localSheetId="0" hidden="1">'Escala SUS (Test de Usabili (2)'!$A$1:$M$21</definedName>
  </definedNames>
  <calcPr calcId="181029"/>
</workbook>
</file>

<file path=xl/calcChain.xml><?xml version="1.0" encoding="utf-8"?>
<calcChain xmlns="http://schemas.openxmlformats.org/spreadsheetml/2006/main">
  <c r="Q2" i="2" l="1"/>
  <c r="R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BFE84-6315-4483-BAAA-BDB915DB75E8}" keepAlive="1" name="Consulta - Escala SUS (Test de Usabilidad)_Submissions_2026-05-25" description="Conexión a la consulta 'Escala SUS (Test de Usabilidad)_Submissions_2026-05-25' en el libro." type="5" refreshedVersion="8" background="1" saveData="1">
    <dbPr connection="Provider=Microsoft.Mashup.OleDb.1;Data Source=$Workbook$;Location=&quot;Escala SUS (Test de Usabilidad)_Submissions_2026-05-25&quot;;Extended Properties=&quot;&quot;" command="SELECT * FROM [Escala SUS (Test de Usabilidad)_Submissions_2026-05-25]"/>
  </connection>
</connections>
</file>

<file path=xl/sharedStrings.xml><?xml version="1.0" encoding="utf-8"?>
<sst xmlns="http://schemas.openxmlformats.org/spreadsheetml/2006/main" count="78" uniqueCount="33">
  <si>
    <t>Método A/B Testing</t>
  </si>
  <si>
    <t>Edad</t>
  </si>
  <si>
    <t>A</t>
  </si>
  <si>
    <t>Hombre</t>
  </si>
  <si>
    <t>Mujer</t>
  </si>
  <si>
    <t>B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</si>
  <si>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</si>
  <si>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</si>
  <si>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</si>
  <si>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</si>
  <si>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</si>
  <si>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</si>
  <si>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</si>
  <si>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</si>
  <si>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</si>
  <si>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</si>
  <si>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ID</t>
  </si>
  <si>
    <t>Exp. TIC</t>
  </si>
  <si>
    <t>Alta</t>
  </si>
  <si>
    <t>Media</t>
  </si>
  <si>
    <t>Baja</t>
  </si>
  <si>
    <t>1.</t>
  </si>
  <si>
    <t>2.</t>
  </si>
  <si>
    <t>3.</t>
  </si>
  <si>
    <t xml:space="preserve">4. </t>
  </si>
  <si>
    <t>5.</t>
  </si>
  <si>
    <t>6.</t>
  </si>
  <si>
    <t>7.</t>
  </si>
  <si>
    <t>8.</t>
  </si>
  <si>
    <t>9.</t>
  </si>
  <si>
    <t>10.</t>
  </si>
  <si>
    <t>Sexo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</si>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</sst>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79998168889431442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59999389629810485"/>
      </right>
      <top style="thin">
        <color theme="4" tint="0.39997558519241921"/>
      </top>
      <bottom/>
      <diagonal/>
    </border>
    <border>
      <left/>
      <right style="thin">
        <color theme="4" tint="0.59999389629810485"/>
      </right>
      <top/>
      <bottom style="thin">
        <color theme="4" tint="0.39997558519241921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13" fillId="33" borderId="14" xfId="0" applyFont="1" applyFill="1" applyBorder="1" applyAlignment="1">
      <alignment wrapText="1"/>
    </xf>
    <xf numFmtId="0" fontId="13" fillId="33" borderId="16" xfId="0" applyFont="1" applyFill="1" applyBorder="1" applyAlignment="1">
      <alignment wrapText="1"/>
    </xf>
    <xf numFmtId="0" fontId="0" fillId="0" borderId="20" xfId="0" applyBorder="1"/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6" borderId="19" xfId="0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8" fillId="36" borderId="0" xfId="0" applyFont="1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0" fontId="16" fillId="0" borderId="23" xfId="0" applyFont="1" applyBorder="1"/>
    <xf numFmtId="0" fontId="13" fillId="33" borderId="0" xfId="0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6"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numFmt numFmtId="0" formatCode="General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numFmt numFmtId="0" formatCode="General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/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02E0A3-73DC-4618-AA3F-DF5406C86C43}" autoFormatId="16" applyNumberFormats="0" applyBorderFormats="0" applyFontFormats="0" applyPatternFormats="0" applyAlignmentFormats="0" applyWidthHeightFormats="0">
  <queryTableRefresh nextId="17">
    <queryTableFields count="13">
      <queryTableField id="4" name="1 Creo que me gustaría usar este sistema con frecuencia" tableColumnId="4"/>
      <queryTableField id="5" name="2 Encontré el sistema innecesariamente complejo" tableColumnId="5"/>
      <queryTableField id="6" name="3 Pensé que el sistema era fácil de usar" tableColumnId="6"/>
      <queryTableField id="7" name="4 Creo que necesitaría el apoyo de un técnico para poder utilizar este sistema" tableColumnId="7"/>
      <queryTableField id="8" name="5 Encontré que las diversas funciones de este sistema estaban bien integradas" tableColumnId="8"/>
      <queryTableField id="9" name="6 Pensé que había demasiada inconsistencia en este sistema" tableColumnId="9"/>
      <queryTableField id="10" name="7 Imagino que la mayoría de la gente aprendería a usar este sistema muy rápidamente." tableColumnId="10"/>
      <queryTableField id="11" name="8 Encontré el sistema muy engorroso de usar" tableColumnId="11"/>
      <queryTableField id="12" name="9 Me sentí muy confiado al usar el sistema" tableColumnId="12"/>
      <queryTableField id="13" name="10 Necesité aprender muchas cosas antes de poder seguir con este sistema." tableColumnId="13"/>
      <queryTableField id="14" name="Método A/B Testing" tableColumnId="14"/>
      <queryTableField id="15" name="Género" tableColumnId="15"/>
      <queryTableField id="16" name="Edad" tableColumnId="16"/>
    </queryTableFields>
    <queryTableDeletedFields count="3">
      <deletedField name="Respondent ID"/>
      <deletedField name="Submission ID"/>
      <deletedField name="Submitted 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0AB23-662E-4C88-9BDA-6B8BB8474898}" name="Escala_SUS__Test_de_Usabilidad__Submissions_2026_05_25" displayName="Escala_SUS__Test_de_Usabilidad__Submissions_2026_05_25" ref="A1:M21" tableType="queryTable" totalsRowShown="0">
  <autoFilter ref="A1:M21" xr:uid="{3FF0AB23-662E-4C88-9BDA-6B8BB8474898}"/>
  <sortState xmlns:xlrd2="http://schemas.microsoft.com/office/spreadsheetml/2017/richdata2" ref="A2:M21">
    <sortCondition ref="M1:M21"/>
  </sortState>
  <tableColumns count="13">
    <tableColumn id="4" xr3:uid="{57AA0A52-1E1C-4CCB-827A-AA1CCEADD339}" uniqueName="4" name="1." queryTableFieldId="4" dataDxfId="25" totalsRowDxfId="12"/>
    <tableColumn id="5" xr3:uid="{C391CC45-66D0-4D45-8E3A-28AEB9176BD8}" uniqueName="5" name="2." queryTableFieldId="5" dataDxfId="24" totalsRowDxfId="11"/>
    <tableColumn id="6" xr3:uid="{F039C863-0386-46E7-9059-ADC67988814C}" uniqueName="6" name="3." queryTableFieldId="6" dataDxfId="23" totalsRowDxfId="10"/>
    <tableColumn id="7" xr3:uid="{9829F8B8-A0D3-46DA-9637-AB0AD8867291}" uniqueName="7" name="4. " queryTableFieldId="7" dataDxfId="22" totalsRowDxfId="9"/>
    <tableColumn id="8" xr3:uid="{907BFBE7-B929-4718-A29D-DD49E9F8493D}" uniqueName="8" name="5." queryTableFieldId="8" dataDxfId="21" totalsRowDxfId="8"/>
    <tableColumn id="9" xr3:uid="{4CF72B87-2717-4D1C-BB65-9E534798AC22}" uniqueName="9" name="6." queryTableFieldId="9" dataDxfId="20" totalsRowDxfId="7"/>
    <tableColumn id="10" xr3:uid="{1D3D598C-B705-4B2C-B304-08753B4605E4}" uniqueName="10" name="7." queryTableFieldId="10" dataDxfId="19" totalsRowDxfId="6"/>
    <tableColumn id="11" xr3:uid="{DF9C7851-9C4F-410C-AAE0-F775E82FD4E1}" uniqueName="11" name="8." queryTableFieldId="11" dataDxfId="18" totalsRowDxfId="5"/>
    <tableColumn id="12" xr3:uid="{02FD17A8-B373-446E-B767-397735E1117A}" uniqueName="12" name="9." queryTableFieldId="12" dataDxfId="17" totalsRowDxfId="4"/>
    <tableColumn id="13" xr3:uid="{E2C7EE18-5A80-41A1-9E4E-003C3950C15D}" uniqueName="13" name="10." queryTableFieldId="13" dataDxfId="16" totalsRowDxfId="3"/>
    <tableColumn id="14" xr3:uid="{BE8DC9A2-3CEA-459F-8D5C-ED397EE260EC}" uniqueName="14" name="Método A/B Testing" queryTableFieldId="14" dataDxfId="15" totalsRowDxfId="2"/>
    <tableColumn id="15" xr3:uid="{0EDC5D0D-8C61-4F1B-A4F6-8B1AFE5E631D}" uniqueName="15" name="Sexo" queryTableFieldId="15" dataDxfId="14" totalsRowDxfId="1"/>
    <tableColumn id="16" xr3:uid="{A6837172-E1B2-4AE3-9661-C6D708D029F4}" uniqueName="16" name="Edad" queryTableFieldId="16" dataDxfId="1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22CE-20FC-4780-95AE-4263D0D16E36}">
  <dimension ref="A1:R21"/>
  <sheetViews>
    <sheetView tabSelected="1" zoomScaleNormal="100" workbookViewId="0">
      <selection activeCell="Q2" sqref="Q2"/>
    </sheetView>
  </sheetViews>
  <sheetFormatPr baseColWidth="10" defaultRowHeight="14.4" x14ac:dyDescent="0.3"/>
  <cols>
    <col min="1" max="11" width="3.77734375" customWidth="1"/>
    <col min="12" max="12" width="9.109375" customWidth="1"/>
    <col min="13" max="13" width="6.109375" customWidth="1"/>
    <col min="14" max="14" width="5.33203125" customWidth="1"/>
    <col min="15" max="15" width="7.5546875" customWidth="1"/>
    <col min="16" max="16" width="9.109375" customWidth="1"/>
    <col min="17" max="17" width="9.77734375" customWidth="1"/>
    <col min="18" max="18" width="10.21875" customWidth="1"/>
  </cols>
  <sheetData>
    <row r="1" spans="1:18" ht="13.2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0</v>
      </c>
      <c r="L1" s="1" t="s">
        <v>31</v>
      </c>
      <c r="M1" s="1" t="s">
        <v>1</v>
      </c>
      <c r="N1" s="2" t="s">
        <v>16</v>
      </c>
      <c r="O1" s="3" t="s">
        <v>17</v>
      </c>
      <c r="P1" s="3" t="s">
        <v>32</v>
      </c>
      <c r="Q1" s="25" t="s">
        <v>2</v>
      </c>
      <c r="R1" s="25" t="s">
        <v>5</v>
      </c>
    </row>
    <row r="2" spans="1:18" x14ac:dyDescent="0.3">
      <c r="A2" s="4">
        <v>5</v>
      </c>
      <c r="B2" s="4">
        <v>1</v>
      </c>
      <c r="C2" s="4">
        <v>5</v>
      </c>
      <c r="D2" s="4">
        <v>1</v>
      </c>
      <c r="E2" s="4">
        <v>4</v>
      </c>
      <c r="F2" s="4">
        <v>1</v>
      </c>
      <c r="G2" s="4">
        <v>5</v>
      </c>
      <c r="H2" s="4">
        <v>1</v>
      </c>
      <c r="I2" s="4">
        <v>5</v>
      </c>
      <c r="J2" s="4">
        <v>1</v>
      </c>
      <c r="K2" s="4" t="s">
        <v>2</v>
      </c>
      <c r="L2" s="4" t="s">
        <v>3</v>
      </c>
      <c r="M2" s="4">
        <v>19</v>
      </c>
      <c r="N2" s="16" t="s">
        <v>6</v>
      </c>
      <c r="O2" s="13" t="s">
        <v>18</v>
      </c>
      <c r="P2" s="24">
        <f>SUM($A2-1,5-$B2,$C2-1,5-$D2,$E2-1,5-$F2,$G2-1,5-$H2,$I2-1,5-$J2)*2.5</f>
        <v>97.5</v>
      </c>
      <c r="Q2">
        <f>AVERAGE(P2:P7,P12:P13,P18:P19)</f>
        <v>92.75</v>
      </c>
      <c r="R2">
        <f>AVERAGE(P8:P11,P14:P17,P20:P21)</f>
        <v>86.25</v>
      </c>
    </row>
    <row r="3" spans="1:18" x14ac:dyDescent="0.3">
      <c r="A3" s="4">
        <v>5</v>
      </c>
      <c r="B3" s="4">
        <v>1</v>
      </c>
      <c r="C3" s="4">
        <v>5</v>
      </c>
      <c r="D3" s="4">
        <v>1</v>
      </c>
      <c r="E3" s="4">
        <v>5</v>
      </c>
      <c r="F3" s="4">
        <v>1</v>
      </c>
      <c r="G3" s="4">
        <v>5</v>
      </c>
      <c r="H3" s="4">
        <v>1</v>
      </c>
      <c r="I3" s="4">
        <v>5</v>
      </c>
      <c r="J3" s="4">
        <v>1</v>
      </c>
      <c r="K3" s="4" t="s">
        <v>2</v>
      </c>
      <c r="L3" s="4" t="s">
        <v>3</v>
      </c>
      <c r="M3" s="4">
        <v>19</v>
      </c>
      <c r="N3" s="17"/>
      <c r="O3" s="14"/>
      <c r="P3" s="24">
        <f t="shared" ref="P3:P21" si="0">SUM($A3-1,5-$B3,$C3-1,5-$D3,$E3-1,5-$F3,$G3-1,5-$H3,$I3-1,5-$J3)*2.5</f>
        <v>100</v>
      </c>
    </row>
    <row r="4" spans="1:18" x14ac:dyDescent="0.3">
      <c r="A4" s="4">
        <v>4</v>
      </c>
      <c r="B4" s="4">
        <v>2</v>
      </c>
      <c r="C4" s="4">
        <v>5</v>
      </c>
      <c r="D4" s="4">
        <v>1</v>
      </c>
      <c r="E4" s="4">
        <v>4</v>
      </c>
      <c r="F4" s="4">
        <v>2</v>
      </c>
      <c r="G4" s="4">
        <v>5</v>
      </c>
      <c r="H4" s="4">
        <v>2</v>
      </c>
      <c r="I4" s="4">
        <v>4</v>
      </c>
      <c r="J4" s="4">
        <v>1</v>
      </c>
      <c r="K4" s="4" t="s">
        <v>2</v>
      </c>
      <c r="L4" s="4" t="s">
        <v>3</v>
      </c>
      <c r="M4" s="4">
        <v>20</v>
      </c>
      <c r="N4" s="22" t="s">
        <v>7</v>
      </c>
      <c r="O4" s="15" t="s">
        <v>18</v>
      </c>
      <c r="P4" s="24">
        <f t="shared" si="0"/>
        <v>85</v>
      </c>
    </row>
    <row r="5" spans="1:18" x14ac:dyDescent="0.3">
      <c r="A5" s="4">
        <v>4</v>
      </c>
      <c r="B5" s="4">
        <v>2</v>
      </c>
      <c r="C5" s="4">
        <v>5</v>
      </c>
      <c r="D5" s="4">
        <v>1</v>
      </c>
      <c r="E5" s="4">
        <v>5</v>
      </c>
      <c r="F5" s="4">
        <v>2</v>
      </c>
      <c r="G5" s="4">
        <v>5</v>
      </c>
      <c r="H5" s="4">
        <v>2</v>
      </c>
      <c r="I5" s="4">
        <v>4</v>
      </c>
      <c r="J5" s="4">
        <v>2</v>
      </c>
      <c r="K5" s="4" t="s">
        <v>2</v>
      </c>
      <c r="L5" s="4" t="s">
        <v>3</v>
      </c>
      <c r="M5" s="4">
        <v>20</v>
      </c>
      <c r="N5" s="23"/>
      <c r="O5" s="15"/>
      <c r="P5" s="24">
        <f t="shared" si="0"/>
        <v>85</v>
      </c>
    </row>
    <row r="6" spans="1:18" x14ac:dyDescent="0.3">
      <c r="A6" s="4">
        <v>4</v>
      </c>
      <c r="B6" s="4">
        <v>1</v>
      </c>
      <c r="C6" s="4">
        <v>4</v>
      </c>
      <c r="D6" s="4">
        <v>1</v>
      </c>
      <c r="E6" s="4">
        <v>4</v>
      </c>
      <c r="F6" s="4">
        <v>1</v>
      </c>
      <c r="G6" s="4">
        <v>4</v>
      </c>
      <c r="H6" s="4">
        <v>1</v>
      </c>
      <c r="I6" s="4">
        <v>4</v>
      </c>
      <c r="J6" s="4">
        <v>1</v>
      </c>
      <c r="K6" s="4" t="s">
        <v>2</v>
      </c>
      <c r="L6" s="4" t="s">
        <v>4</v>
      </c>
      <c r="M6" s="4">
        <v>22</v>
      </c>
      <c r="N6" s="16" t="s">
        <v>8</v>
      </c>
      <c r="O6" s="7" t="s">
        <v>19</v>
      </c>
      <c r="P6" s="24">
        <f t="shared" si="0"/>
        <v>87.5</v>
      </c>
    </row>
    <row r="7" spans="1:18" x14ac:dyDescent="0.3">
      <c r="A7" s="4">
        <v>5</v>
      </c>
      <c r="B7" s="4">
        <v>1</v>
      </c>
      <c r="C7" s="4">
        <v>5</v>
      </c>
      <c r="D7" s="4">
        <v>1</v>
      </c>
      <c r="E7" s="4">
        <v>4</v>
      </c>
      <c r="F7" s="4">
        <v>1</v>
      </c>
      <c r="G7" s="4">
        <v>5</v>
      </c>
      <c r="H7" s="4">
        <v>1</v>
      </c>
      <c r="I7" s="4">
        <v>5</v>
      </c>
      <c r="J7" s="4">
        <v>1</v>
      </c>
      <c r="K7" s="4" t="s">
        <v>2</v>
      </c>
      <c r="L7" s="4" t="s">
        <v>4</v>
      </c>
      <c r="M7" s="4">
        <v>22</v>
      </c>
      <c r="N7" s="17"/>
      <c r="O7" s="8"/>
      <c r="P7" s="24">
        <f t="shared" si="0"/>
        <v>97.5</v>
      </c>
    </row>
    <row r="8" spans="1:18" x14ac:dyDescent="0.3">
      <c r="A8" s="4">
        <v>5</v>
      </c>
      <c r="B8" s="4">
        <v>2</v>
      </c>
      <c r="C8" s="4">
        <v>4</v>
      </c>
      <c r="D8" s="4">
        <v>1</v>
      </c>
      <c r="E8" s="4">
        <v>4</v>
      </c>
      <c r="F8" s="4">
        <v>1</v>
      </c>
      <c r="G8" s="4">
        <v>4</v>
      </c>
      <c r="H8" s="4">
        <v>1</v>
      </c>
      <c r="I8" s="4">
        <v>5</v>
      </c>
      <c r="J8" s="4">
        <v>1</v>
      </c>
      <c r="K8" s="4" t="s">
        <v>5</v>
      </c>
      <c r="L8" s="4" t="s">
        <v>3</v>
      </c>
      <c r="M8" s="4">
        <v>22</v>
      </c>
      <c r="N8" s="18" t="s">
        <v>11</v>
      </c>
      <c r="O8" s="11" t="s">
        <v>18</v>
      </c>
      <c r="P8" s="24">
        <f t="shared" si="0"/>
        <v>90</v>
      </c>
    </row>
    <row r="9" spans="1:18" x14ac:dyDescent="0.3">
      <c r="A9" s="4">
        <v>5</v>
      </c>
      <c r="B9" s="4">
        <v>1</v>
      </c>
      <c r="C9" s="4">
        <v>5</v>
      </c>
      <c r="D9" s="4">
        <v>1</v>
      </c>
      <c r="E9" s="4">
        <v>5</v>
      </c>
      <c r="F9" s="4">
        <v>2</v>
      </c>
      <c r="G9" s="4">
        <v>5</v>
      </c>
      <c r="H9" s="4">
        <v>2</v>
      </c>
      <c r="I9" s="4">
        <v>5</v>
      </c>
      <c r="J9" s="4">
        <v>1</v>
      </c>
      <c r="K9" s="4" t="s">
        <v>5</v>
      </c>
      <c r="L9" s="4" t="s">
        <v>3</v>
      </c>
      <c r="M9" s="4">
        <v>22</v>
      </c>
      <c r="N9" s="19"/>
      <c r="O9" s="12"/>
      <c r="P9" s="24">
        <f t="shared" si="0"/>
        <v>95</v>
      </c>
    </row>
    <row r="10" spans="1:18" x14ac:dyDescent="0.3">
      <c r="A10" s="4">
        <v>5</v>
      </c>
      <c r="B10" s="4">
        <v>1</v>
      </c>
      <c r="C10" s="4">
        <v>5</v>
      </c>
      <c r="D10" s="4">
        <v>1</v>
      </c>
      <c r="E10" s="4">
        <v>5</v>
      </c>
      <c r="F10" s="4">
        <v>1</v>
      </c>
      <c r="G10" s="4">
        <v>5</v>
      </c>
      <c r="H10" s="4">
        <v>1</v>
      </c>
      <c r="I10" s="4">
        <v>5</v>
      </c>
      <c r="J10" s="4">
        <v>1</v>
      </c>
      <c r="K10" s="4" t="s">
        <v>5</v>
      </c>
      <c r="L10" s="4" t="s">
        <v>4</v>
      </c>
      <c r="M10" s="4">
        <v>23</v>
      </c>
      <c r="N10" s="16" t="s">
        <v>12</v>
      </c>
      <c r="O10" s="7" t="s">
        <v>18</v>
      </c>
      <c r="P10" s="24">
        <f t="shared" si="0"/>
        <v>100</v>
      </c>
    </row>
    <row r="11" spans="1:18" x14ac:dyDescent="0.3">
      <c r="A11" s="4">
        <v>5</v>
      </c>
      <c r="B11" s="4">
        <v>1</v>
      </c>
      <c r="C11" s="4">
        <v>5</v>
      </c>
      <c r="D11" s="4">
        <v>1</v>
      </c>
      <c r="E11" s="4">
        <v>5</v>
      </c>
      <c r="F11" s="4">
        <v>1</v>
      </c>
      <c r="G11" s="4">
        <v>5</v>
      </c>
      <c r="H11" s="4">
        <v>1</v>
      </c>
      <c r="I11" s="4">
        <v>5</v>
      </c>
      <c r="J11" s="4">
        <v>1</v>
      </c>
      <c r="K11" s="4" t="s">
        <v>5</v>
      </c>
      <c r="L11" s="4" t="s">
        <v>4</v>
      </c>
      <c r="M11" s="4">
        <v>23</v>
      </c>
      <c r="N11" s="17"/>
      <c r="O11" s="8"/>
      <c r="P11" s="24">
        <f t="shared" si="0"/>
        <v>100</v>
      </c>
    </row>
    <row r="12" spans="1:18" x14ac:dyDescent="0.3">
      <c r="A12" s="4">
        <v>4</v>
      </c>
      <c r="B12" s="4">
        <v>1</v>
      </c>
      <c r="C12" s="4">
        <v>5</v>
      </c>
      <c r="D12" s="4">
        <v>1</v>
      </c>
      <c r="E12" s="4">
        <v>5</v>
      </c>
      <c r="F12" s="4">
        <v>2</v>
      </c>
      <c r="G12" s="4">
        <v>5</v>
      </c>
      <c r="H12" s="4">
        <v>1</v>
      </c>
      <c r="I12" s="4">
        <v>5</v>
      </c>
      <c r="J12" s="4">
        <v>1</v>
      </c>
      <c r="K12" s="4" t="s">
        <v>2</v>
      </c>
      <c r="L12" s="4" t="s">
        <v>3</v>
      </c>
      <c r="M12" s="4">
        <v>27</v>
      </c>
      <c r="N12" s="18" t="s">
        <v>9</v>
      </c>
      <c r="O12" s="5" t="s">
        <v>18</v>
      </c>
      <c r="P12" s="24">
        <f t="shared" si="0"/>
        <v>95</v>
      </c>
    </row>
    <row r="13" spans="1:18" x14ac:dyDescent="0.3">
      <c r="A13" s="4">
        <v>5</v>
      </c>
      <c r="B13" s="4">
        <v>1</v>
      </c>
      <c r="C13" s="4">
        <v>5</v>
      </c>
      <c r="D13" s="4">
        <v>1</v>
      </c>
      <c r="E13" s="4">
        <v>5</v>
      </c>
      <c r="F13" s="4">
        <v>1</v>
      </c>
      <c r="G13" s="4">
        <v>5</v>
      </c>
      <c r="H13" s="4">
        <v>1</v>
      </c>
      <c r="I13" s="4">
        <v>5</v>
      </c>
      <c r="J13" s="4">
        <v>1</v>
      </c>
      <c r="K13" s="4" t="s">
        <v>2</v>
      </c>
      <c r="L13" s="4" t="s">
        <v>3</v>
      </c>
      <c r="M13" s="4">
        <v>27</v>
      </c>
      <c r="N13" s="19"/>
      <c r="O13" s="6"/>
      <c r="P13" s="24">
        <f t="shared" si="0"/>
        <v>100</v>
      </c>
    </row>
    <row r="14" spans="1:18" x14ac:dyDescent="0.3">
      <c r="A14" s="4">
        <v>4</v>
      </c>
      <c r="B14" s="4">
        <v>2</v>
      </c>
      <c r="C14" s="4">
        <v>5</v>
      </c>
      <c r="D14" s="4">
        <v>2</v>
      </c>
      <c r="E14" s="4">
        <v>4</v>
      </c>
      <c r="F14" s="4">
        <v>1</v>
      </c>
      <c r="G14" s="4">
        <v>4</v>
      </c>
      <c r="H14" s="4">
        <v>5</v>
      </c>
      <c r="I14" s="4">
        <v>5</v>
      </c>
      <c r="J14" s="4">
        <v>2</v>
      </c>
      <c r="K14" s="4" t="s">
        <v>5</v>
      </c>
      <c r="L14" s="4" t="s">
        <v>4</v>
      </c>
      <c r="M14" s="4">
        <v>30</v>
      </c>
      <c r="N14" s="16" t="s">
        <v>13</v>
      </c>
      <c r="O14" s="7" t="s">
        <v>19</v>
      </c>
      <c r="P14" s="24">
        <f t="shared" si="0"/>
        <v>75</v>
      </c>
    </row>
    <row r="15" spans="1:18" x14ac:dyDescent="0.3">
      <c r="A15" s="4">
        <v>5</v>
      </c>
      <c r="B15" s="4">
        <v>1</v>
      </c>
      <c r="C15" s="4">
        <v>5</v>
      </c>
      <c r="D15" s="4">
        <v>2</v>
      </c>
      <c r="E15" s="4">
        <v>4</v>
      </c>
      <c r="F15" s="4">
        <v>1</v>
      </c>
      <c r="G15" s="4">
        <v>5</v>
      </c>
      <c r="H15" s="4">
        <v>1</v>
      </c>
      <c r="I15" s="4">
        <v>5</v>
      </c>
      <c r="J15" s="4">
        <v>2</v>
      </c>
      <c r="K15" s="4" t="s">
        <v>5</v>
      </c>
      <c r="L15" s="4" t="s">
        <v>4</v>
      </c>
      <c r="M15" s="4">
        <v>30</v>
      </c>
      <c r="N15" s="17"/>
      <c r="O15" s="8"/>
      <c r="P15" s="24">
        <f t="shared" si="0"/>
        <v>92.5</v>
      </c>
    </row>
    <row r="16" spans="1:18" x14ac:dyDescent="0.3">
      <c r="A16" s="4">
        <v>4</v>
      </c>
      <c r="B16" s="4">
        <v>2</v>
      </c>
      <c r="C16" s="4">
        <v>5</v>
      </c>
      <c r="D16" s="4">
        <v>2</v>
      </c>
      <c r="E16" s="4">
        <v>5</v>
      </c>
      <c r="F16" s="4">
        <v>1</v>
      </c>
      <c r="G16" s="4">
        <v>4</v>
      </c>
      <c r="H16" s="4">
        <v>1</v>
      </c>
      <c r="I16" s="4">
        <v>4</v>
      </c>
      <c r="J16" s="4">
        <v>2</v>
      </c>
      <c r="K16" s="4" t="s">
        <v>5</v>
      </c>
      <c r="L16" s="4" t="s">
        <v>3</v>
      </c>
      <c r="M16" s="4">
        <v>55</v>
      </c>
      <c r="N16" s="18" t="s">
        <v>14</v>
      </c>
      <c r="O16" s="5" t="s">
        <v>19</v>
      </c>
      <c r="P16" s="24">
        <f t="shared" si="0"/>
        <v>85</v>
      </c>
    </row>
    <row r="17" spans="1:16" x14ac:dyDescent="0.3">
      <c r="A17" s="4">
        <v>4</v>
      </c>
      <c r="B17" s="4">
        <v>2</v>
      </c>
      <c r="C17" s="4">
        <v>5</v>
      </c>
      <c r="D17" s="4">
        <v>1</v>
      </c>
      <c r="E17" s="4">
        <v>4</v>
      </c>
      <c r="F17" s="4">
        <v>5</v>
      </c>
      <c r="G17" s="4">
        <v>4</v>
      </c>
      <c r="H17" s="4">
        <v>2</v>
      </c>
      <c r="I17" s="4">
        <v>4</v>
      </c>
      <c r="J17" s="4">
        <v>1</v>
      </c>
      <c r="K17" s="4" t="s">
        <v>5</v>
      </c>
      <c r="L17" s="4" t="s">
        <v>3</v>
      </c>
      <c r="M17" s="4">
        <v>55</v>
      </c>
      <c r="N17" s="19"/>
      <c r="O17" s="9"/>
      <c r="P17" s="24">
        <f t="shared" si="0"/>
        <v>75</v>
      </c>
    </row>
    <row r="18" spans="1:16" x14ac:dyDescent="0.3">
      <c r="A18" s="4">
        <v>4</v>
      </c>
      <c r="B18" s="4">
        <v>1</v>
      </c>
      <c r="C18" s="4">
        <v>4</v>
      </c>
      <c r="D18" s="4">
        <v>2</v>
      </c>
      <c r="E18" s="4">
        <v>5</v>
      </c>
      <c r="F18" s="4">
        <v>1</v>
      </c>
      <c r="G18" s="4">
        <v>5</v>
      </c>
      <c r="H18" s="4">
        <v>2</v>
      </c>
      <c r="I18" s="4">
        <v>5</v>
      </c>
      <c r="J18" s="4">
        <v>2</v>
      </c>
      <c r="K18" s="4" t="s">
        <v>2</v>
      </c>
      <c r="L18" s="4" t="s">
        <v>3</v>
      </c>
      <c r="M18" s="4">
        <v>80</v>
      </c>
      <c r="N18" s="20" t="s">
        <v>10</v>
      </c>
      <c r="O18" s="10" t="s">
        <v>20</v>
      </c>
      <c r="P18" s="24">
        <f t="shared" si="0"/>
        <v>87.5</v>
      </c>
    </row>
    <row r="19" spans="1:16" x14ac:dyDescent="0.3">
      <c r="A19" s="4">
        <v>5</v>
      </c>
      <c r="B19" s="4">
        <v>1</v>
      </c>
      <c r="C19" s="4">
        <v>4</v>
      </c>
      <c r="D19" s="4">
        <v>2</v>
      </c>
      <c r="E19" s="4">
        <v>5</v>
      </c>
      <c r="F19" s="4">
        <v>1</v>
      </c>
      <c r="G19" s="4">
        <v>5</v>
      </c>
      <c r="H19" s="4">
        <v>1</v>
      </c>
      <c r="I19" s="4">
        <v>5</v>
      </c>
      <c r="J19" s="4">
        <v>2</v>
      </c>
      <c r="K19" s="4" t="s">
        <v>2</v>
      </c>
      <c r="L19" s="4" t="s">
        <v>3</v>
      </c>
      <c r="M19" s="4">
        <v>80</v>
      </c>
      <c r="N19" s="21"/>
      <c r="O19" s="10"/>
      <c r="P19" s="24">
        <f t="shared" si="0"/>
        <v>92.5</v>
      </c>
    </row>
    <row r="20" spans="1:16" x14ac:dyDescent="0.3">
      <c r="A20" s="4">
        <v>4</v>
      </c>
      <c r="B20" s="4">
        <v>2</v>
      </c>
      <c r="C20" s="4">
        <v>4</v>
      </c>
      <c r="D20" s="4">
        <v>2</v>
      </c>
      <c r="E20" s="4">
        <v>5</v>
      </c>
      <c r="F20" s="4">
        <v>2</v>
      </c>
      <c r="G20" s="4">
        <v>4</v>
      </c>
      <c r="H20" s="4">
        <v>2</v>
      </c>
      <c r="I20" s="4">
        <v>2</v>
      </c>
      <c r="J20" s="4">
        <v>3</v>
      </c>
      <c r="K20" s="4" t="s">
        <v>5</v>
      </c>
      <c r="L20" s="4" t="s">
        <v>4</v>
      </c>
      <c r="M20" s="4">
        <v>87</v>
      </c>
      <c r="N20" s="18" t="s">
        <v>15</v>
      </c>
      <c r="O20" s="11" t="s">
        <v>20</v>
      </c>
      <c r="P20" s="24">
        <f t="shared" si="0"/>
        <v>70</v>
      </c>
    </row>
    <row r="21" spans="1:16" x14ac:dyDescent="0.3">
      <c r="A21" s="4">
        <v>4</v>
      </c>
      <c r="B21" s="4">
        <v>2</v>
      </c>
      <c r="C21" s="4">
        <v>4</v>
      </c>
      <c r="D21" s="4">
        <v>2</v>
      </c>
      <c r="E21" s="4">
        <v>5</v>
      </c>
      <c r="F21" s="4">
        <v>1</v>
      </c>
      <c r="G21" s="4">
        <v>4</v>
      </c>
      <c r="H21" s="4">
        <v>2</v>
      </c>
      <c r="I21" s="4">
        <v>4</v>
      </c>
      <c r="J21" s="4">
        <v>2</v>
      </c>
      <c r="K21" s="4" t="s">
        <v>5</v>
      </c>
      <c r="L21" s="4" t="s">
        <v>4</v>
      </c>
      <c r="M21" s="4">
        <v>87</v>
      </c>
      <c r="N21" s="19"/>
      <c r="O21" s="12"/>
      <c r="P21" s="24">
        <f t="shared" si="0"/>
        <v>80</v>
      </c>
    </row>
  </sheetData>
  <mergeCells count="20">
    <mergeCell ref="N14:N15"/>
    <mergeCell ref="N16:N17"/>
    <mergeCell ref="N18:N19"/>
    <mergeCell ref="N20:N21"/>
    <mergeCell ref="N2:N3"/>
    <mergeCell ref="N4:N5"/>
    <mergeCell ref="N6:N7"/>
    <mergeCell ref="N8:N9"/>
    <mergeCell ref="N10:N11"/>
    <mergeCell ref="N12:N13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C6674-2752-42F2-8CD5-34E5E1B0E8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Escala SUS (Test de Usabili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emcm1</dc:creator>
  <cp:lastModifiedBy>Delta Celeste</cp:lastModifiedBy>
  <cp:lastPrinted>2026-05-28T16:35:36Z</cp:lastPrinted>
  <dcterms:created xsi:type="dcterms:W3CDTF">2026-05-25T09:02:30Z</dcterms:created>
  <dcterms:modified xsi:type="dcterms:W3CDTF">2026-05-28T17:22:03Z</dcterms:modified>
</cp:coreProperties>
</file>